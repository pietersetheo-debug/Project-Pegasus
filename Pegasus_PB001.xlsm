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echemicals-my.sharepoint.com/personal/theo_pechem_co_za/Documents/Documents/GitHub/Project-Pegasus/"/>
    </mc:Choice>
  </mc:AlternateContent>
  <xr:revisionPtr revIDLastSave="0" documentId="8_{FC227C3A-0C9E-43BE-9375-455B7276A3D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01_Home" sheetId="1" r:id="rId1"/>
    <sheet name="02_Density" sheetId="2" r:id="rId2"/>
    <sheet name="03_pH" sheetId="3" r:id="rId3"/>
    <sheet name="09_Repor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" l="1"/>
  <c r="B3" i="4"/>
  <c r="E7" i="2"/>
  <c r="E6" i="2"/>
  <c r="B4" i="4" l="1"/>
  <c r="E9" i="2"/>
  <c r="E10" i="2" s="1"/>
  <c r="B5" i="4" s="1"/>
</calcChain>
</file>

<file path=xl/sharedStrings.xml><?xml version="1.0" encoding="utf-8"?>
<sst xmlns="http://schemas.openxmlformats.org/spreadsheetml/2006/main" count="46" uniqueCount="36">
  <si>
    <t>PEGASUS PB006
Workflow Dashboard</t>
  </si>
  <si>
    <t>Module</t>
  </si>
  <si>
    <t>Status</t>
  </si>
  <si>
    <t>Sample</t>
  </si>
  <si>
    <t>Pending</t>
  </si>
  <si>
    <t>Density</t>
  </si>
  <si>
    <t>pH</t>
  </si>
  <si>
    <t>H2O2</t>
  </si>
  <si>
    <t>PAA</t>
  </si>
  <si>
    <t>Acidity</t>
  </si>
  <si>
    <t>Report</t>
  </si>
  <si>
    <t>Density Object (OBJ-0002)</t>
  </si>
  <si>
    <t>Workflow: Analyst → Reading1 → Reading2 → Complete</t>
  </si>
  <si>
    <t>Analyst Initials</t>
  </si>
  <si>
    <t>Reading 1 (g/mL)</t>
  </si>
  <si>
    <t>Average</t>
  </si>
  <si>
    <t>Reading 2 (g/mL)</t>
  </si>
  <si>
    <t>Difference</t>
  </si>
  <si>
    <t>Std Dev</t>
  </si>
  <si>
    <t>RPD %</t>
  </si>
  <si>
    <t>Completed Date</t>
  </si>
  <si>
    <t>QC Status</t>
  </si>
  <si>
    <t>Completed Time</t>
  </si>
  <si>
    <t>[ COMPLETE MEASUREMENT ]</t>
  </si>
  <si>
    <t>PB006 Notes</t>
  </si>
  <si>
    <t>• Remove spacer rows (approved)</t>
  </si>
  <si>
    <t>• Keyboard workflow</t>
  </si>
  <si>
    <t>• Locking to be added in VBA (.xlsm)</t>
  </si>
  <si>
    <t>pH Object</t>
  </si>
  <si>
    <t>Inherited workflow from Density</t>
  </si>
  <si>
    <t>Reading 1</t>
  </si>
  <si>
    <t>Reading 2</t>
  </si>
  <si>
    <t>Report Preview</t>
  </si>
  <si>
    <t>Analyst</t>
  </si>
  <si>
    <t>QC</t>
  </si>
  <si>
    <t>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</si>
</sst>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F243E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C6EFCE"/>
      </patternFill>
    </fill>
    <fill>
      <patternFill patternType="solid">
        <fgColor rgb="FF1F4E78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3" fillId="6" borderId="0" xfId="0" applyFont="1" applyFill="1"/>
    <xf numFmtId="0" fontId="1" fillId="2" borderId="0" xfId="0" applyFont="1" applyFill="1" applyAlignment="1">
      <alignment horizontal="center" vertical="center" wrapText="1"/>
    </xf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"/>
  <sheetViews>
    <sheetView workbookViewId="0">
      <selection activeCell="C9" sqref="C9"/>
    </sheetView>
  </sheetViews>
  <sheetFormatPr defaultRowHeight="14.4" x14ac:dyDescent="0.3"/>
  <cols>
    <col min="1" max="7" width="20" customWidth="1"/>
  </cols>
  <sheetData>
    <row r="1" spans="1:7" ht="44.4" customHeight="1" x14ac:dyDescent="0.3">
      <c r="A1" s="6" t="s">
        <v>0</v>
      </c>
      <c r="B1" s="7"/>
      <c r="C1" s="7"/>
      <c r="D1" s="7"/>
      <c r="E1" s="7"/>
      <c r="F1" s="7"/>
      <c r="G1" s="7"/>
    </row>
    <row r="2" spans="1:7" ht="44.4" customHeight="1" x14ac:dyDescent="0.3">
      <c r="A2" s="7"/>
      <c r="B2" s="7"/>
      <c r="C2" s="7"/>
      <c r="D2" s="7"/>
      <c r="E2" s="7"/>
      <c r="F2" s="7"/>
      <c r="G2" s="7"/>
    </row>
    <row r="4" spans="1:7" x14ac:dyDescent="0.3">
      <c r="A4" t="s">
        <v>1</v>
      </c>
      <c r="B4" t="s">
        <v>2</v>
      </c>
    </row>
    <row r="5" spans="1:7" x14ac:dyDescent="0.3">
      <c r="A5" t="s">
        <v>3</v>
      </c>
      <c r="B5" t="s">
        <v>4</v>
      </c>
    </row>
    <row r="6" spans="1:7" x14ac:dyDescent="0.3">
      <c r="A6" t="s">
        <v>5</v>
      </c>
      <c r="B6" t="s">
        <v>4</v>
      </c>
    </row>
    <row r="7" spans="1:7" x14ac:dyDescent="0.3">
      <c r="A7" t="s">
        <v>6</v>
      </c>
      <c r="B7" t="s">
        <v>4</v>
      </c>
    </row>
    <row r="8" spans="1:7" x14ac:dyDescent="0.3">
      <c r="A8" t="s">
        <v>7</v>
      </c>
      <c r="B8" t="s">
        <v>4</v>
      </c>
    </row>
    <row r="9" spans="1:7" x14ac:dyDescent="0.3">
      <c r="A9" t="s">
        <v>8</v>
      </c>
      <c r="B9" t="s">
        <v>4</v>
      </c>
    </row>
    <row r="10" spans="1:7" x14ac:dyDescent="0.3">
      <c r="A10" t="s">
        <v>9</v>
      </c>
      <c r="B10" t="s">
        <v>4</v>
      </c>
    </row>
    <row r="11" spans="1:7" x14ac:dyDescent="0.3">
      <c r="A11" t="s">
        <v>10</v>
      </c>
      <c r="B11" t="s">
        <v>4</v>
      </c>
    </row>
  </sheetData>
  <mergeCells count="1">
    <mergeCell ref="A1:G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8"/>
  <sheetViews>
    <sheetView tabSelected="1" workbookViewId="0">
      <selection activeCell="E8" sqref="E8"/>
    </sheetView>
  </sheetViews>
  <sheetFormatPr defaultRowHeight="14.4" x14ac:dyDescent="0.3"/>
  <cols>
    <col min="1" max="7" width="22" customWidth="1"/>
  </cols>
  <sheetData>
    <row r="1" spans="1:5" x14ac:dyDescent="0.3">
      <c r="A1" t="s">
        <v>11</v>
      </c>
    </row>
    <row r="2" spans="1:5" x14ac:dyDescent="0.3">
      <c r="A2" t="s">
        <v>12</v>
      </c>
    </row>
    <row r="4" spans="1:5" x14ac:dyDescent="0.3">
      <c r="A4" s="1" t="s">
        <v>13</v>
      </c>
      <c r="B4" s="2" t="s">
        <v>35</v>
      </c>
    </row>
    <row r="6" spans="1:5" x14ac:dyDescent="0.3">
      <c r="A6" s="1" t="s">
        <v>14</v>
      </c>
      <c r="B6" s="2">
        <v>1.0259</v>
      </c>
      <c r="D6" s="1" t="s">
        <v>15</v>
      </c>
      <c r="E6" s="3">
        <f>IF(COUNTA(B6,B7)=2,AVERAGE(B6,B7),"")</f>
        <v>1.0259499999999999</v>
      </c>
    </row>
    <row r="7" spans="1:5" x14ac:dyDescent="0.3">
      <c r="A7" s="1" t="s">
        <v>16</v>
      </c>
      <c r="B7" s="2">
        <v>1.026</v>
      </c>
      <c r="D7" s="1" t="s">
        <v>17</v>
      </c>
      <c r="E7" s="3">
        <f>IF(COUNTA(B6,B7)=2,ABS(B6-B7),"")</f>
        <v>9.9999999999988987E-5</v>
      </c>
    </row>
    <row r="8" spans="1:5" x14ac:dyDescent="0.3">
      <c r="D8" s="1" t="s">
        <v>18</v>
      </c>
      <c r="E8" s="3">
        <f>IF(COUNTA(B6,B7)=2,_xlfn.STDEV.S(B6,B7),"")</f>
        <v>7.0710678118646961E-5</v>
      </c>
    </row>
    <row r="9" spans="1:5" x14ac:dyDescent="0.3">
      <c r="D9" s="1" t="s">
        <v>19</v>
      </c>
      <c r="E9" s="3">
        <f>IF(E6="","",E7/E6*100)</f>
        <v>9.7470636970601876E-3</v>
      </c>
    </row>
    <row r="10" spans="1:5" x14ac:dyDescent="0.3">
      <c r="A10" s="1" t="s">
        <v>20</v>
      </c>
      <c r="B10" s="3"/>
      <c r="D10" s="1" t="s">
        <v>21</v>
      </c>
      <c r="E10" s="4" t="str">
        <f>IF(E9="","",IF(E9&lt;=0.1,"PASS","CHECK"))</f>
        <v>PASS</v>
      </c>
    </row>
    <row r="11" spans="1:5" x14ac:dyDescent="0.3">
      <c r="A11" s="1" t="s">
        <v>22</v>
      </c>
      <c r="B11" s="3"/>
    </row>
    <row r="13" spans="1:5" x14ac:dyDescent="0.3">
      <c r="D13" s="5" t="s">
        <v>23</v>
      </c>
    </row>
    <row r="15" spans="1:5" x14ac:dyDescent="0.3">
      <c r="A15" t="s">
        <v>24</v>
      </c>
    </row>
    <row r="16" spans="1:5" x14ac:dyDescent="0.3">
      <c r="A16" t="s">
        <v>25</v>
      </c>
    </row>
    <row r="17" spans="1:1" x14ac:dyDescent="0.3">
      <c r="A17" t="s">
        <v>26</v>
      </c>
    </row>
    <row r="18" spans="1:1" x14ac:dyDescent="0.3">
      <c r="A18" t="s">
        <v>27</v>
      </c>
    </row>
  </sheetData>
  <dataValidations count="1">
    <dataValidation type="decimal" sqref="B6 B7" xr:uid="{00000000-0002-0000-0100-000000000000}">
      <formula1>0.5</formula1>
      <formula2>2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3"/>
  <sheetViews>
    <sheetView workbookViewId="0">
      <selection activeCell="C8" sqref="C8"/>
    </sheetView>
  </sheetViews>
  <sheetFormatPr defaultRowHeight="14.4" x14ac:dyDescent="0.3"/>
  <sheetData>
    <row r="1" spans="1:4" x14ac:dyDescent="0.3">
      <c r="A1" t="s">
        <v>28</v>
      </c>
    </row>
    <row r="2" spans="1:4" x14ac:dyDescent="0.3">
      <c r="A2" t="s">
        <v>29</v>
      </c>
    </row>
    <row r="4" spans="1:4" x14ac:dyDescent="0.3">
      <c r="A4" t="s">
        <v>13</v>
      </c>
      <c r="C4" t="s">
        <v>35</v>
      </c>
    </row>
    <row r="6" spans="1:4" x14ac:dyDescent="0.3">
      <c r="A6" t="s">
        <v>30</v>
      </c>
      <c r="C6">
        <v>7.58</v>
      </c>
    </row>
    <row r="7" spans="1:4" x14ac:dyDescent="0.3">
      <c r="A7" t="s">
        <v>31</v>
      </c>
      <c r="C7">
        <v>7.56</v>
      </c>
    </row>
    <row r="13" spans="1:4" x14ac:dyDescent="0.3">
      <c r="D13" s="5" t="s">
        <v>23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5"/>
  <sheetViews>
    <sheetView workbookViewId="0"/>
  </sheetViews>
  <sheetFormatPr defaultRowHeight="14.4" x14ac:dyDescent="0.3"/>
  <sheetData>
    <row r="1" spans="1:2" x14ac:dyDescent="0.3">
      <c r="A1" t="s">
        <v>32</v>
      </c>
    </row>
    <row r="3" spans="1:2" x14ac:dyDescent="0.3">
      <c r="A3" t="s">
        <v>33</v>
      </c>
      <c r="B3" t="str">
        <f>'02_Density'!B4</f>
        <v>TP</v>
      </c>
    </row>
    <row r="4" spans="1:2" x14ac:dyDescent="0.3">
      <c r="A4" t="s">
        <v>5</v>
      </c>
      <c r="B4">
        <f>'02_Density'!E6</f>
        <v>1.0259499999999999</v>
      </c>
    </row>
    <row r="5" spans="1:2" x14ac:dyDescent="0.3">
      <c r="A5" t="s">
        <v>34</v>
      </c>
      <c r="B5" t="str">
        <f>'02_Density'!E10</f>
        <v>PASS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01_Home</vt:lpstr>
      <vt:lpstr>02_Density</vt:lpstr>
      <vt:lpstr>03_pH</vt:lpstr>
      <vt:lpstr>09_Report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Theo Pieterse</cp:lastModifiedBy>
  <dcterms:created xsi:type="dcterms:W3CDTF">2026-08-03T09:23:21Z</dcterms:created>
  <dcterms:modified xsi:type="dcterms:W3CDTF">2026-08-04T09:40:58Z</dcterms:modified>
</cp:coreProperties>
</file>